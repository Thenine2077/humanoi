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Humanoi\docs\"/>
    </mc:Choice>
  </mc:AlternateContent>
  <xr:revisionPtr revIDLastSave="0" documentId="13_ncr:1_{C6BD6B54-4540-43B5-8832-E07FF7CBC24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สรุป" sheetId="1" r:id="rId1"/>
    <sheet name="อุปกรณ์" sheetId="2" r:id="rId2"/>
    <sheet name="แหล่งจ่า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" l="1"/>
  <c r="F8" i="3"/>
  <c r="E8" i="3"/>
  <c r="G7" i="3"/>
  <c r="F7" i="3"/>
  <c r="E7" i="3"/>
  <c r="E6" i="3"/>
  <c r="G5" i="3"/>
  <c r="F5" i="3"/>
  <c r="E5" i="3"/>
  <c r="G4" i="3"/>
  <c r="F4" i="3"/>
  <c r="E4" i="3"/>
  <c r="G3" i="3"/>
  <c r="F3" i="3"/>
  <c r="E3" i="3"/>
  <c r="E2" i="3"/>
  <c r="H18" i="2"/>
  <c r="G18" i="2"/>
  <c r="H17" i="2"/>
  <c r="G6" i="3" s="1"/>
  <c r="G17" i="2"/>
  <c r="F6" i="3" s="1"/>
  <c r="H16" i="2"/>
  <c r="G16" i="2"/>
  <c r="H15" i="2"/>
  <c r="G15" i="2"/>
  <c r="H14" i="2"/>
  <c r="G14" i="2"/>
  <c r="H13" i="2"/>
  <c r="G13" i="2"/>
  <c r="H12" i="2"/>
  <c r="G12" i="2"/>
  <c r="H11" i="2"/>
  <c r="G11" i="2"/>
  <c r="H9" i="2"/>
  <c r="G9" i="2"/>
  <c r="H8" i="2"/>
  <c r="G8" i="2"/>
  <c r="H7" i="2"/>
  <c r="G7" i="2"/>
  <c r="H6" i="2"/>
  <c r="G6" i="2"/>
  <c r="H5" i="2"/>
  <c r="G5" i="2"/>
  <c r="E4" i="2"/>
  <c r="H4" i="2" s="1"/>
  <c r="D4" i="2"/>
  <c r="G4" i="2" s="1"/>
  <c r="H3" i="2"/>
  <c r="G3" i="2"/>
  <c r="H2" i="2"/>
  <c r="G2" i="2"/>
  <c r="B22" i="1"/>
  <c r="B24" i="1" s="1"/>
  <c r="B5" i="1"/>
  <c r="I8" i="3" l="1"/>
  <c r="H8" i="3"/>
  <c r="I7" i="3"/>
  <c r="H7" i="3"/>
  <c r="I6" i="3"/>
  <c r="H6" i="3"/>
  <c r="I5" i="3"/>
  <c r="H5" i="3"/>
  <c r="I4" i="3"/>
  <c r="H4" i="3"/>
  <c r="I3" i="3"/>
  <c r="H3" i="3"/>
  <c r="H20" i="2"/>
  <c r="B4" i="1" s="1"/>
  <c r="B13" i="1" s="1"/>
  <c r="G2" i="3"/>
  <c r="G20" i="2"/>
  <c r="B3" i="1" s="1"/>
  <c r="F2" i="3"/>
  <c r="B12" i="1" l="1"/>
  <c r="B14" i="1"/>
  <c r="I2" i="3"/>
  <c r="H2" i="3"/>
</calcChain>
</file>

<file path=xl/sharedStrings.xml><?xml version="1.0" encoding="utf-8"?>
<sst xmlns="http://schemas.openxmlformats.org/spreadsheetml/2006/main" count="153" uniqueCount="105">
  <si>
    <t>กำลังไฟทั้งหุ่น</t>
  </si>
  <si>
    <t>W ปกติ (รวม)</t>
  </si>
  <si>
    <t>จากชีตอุปกรณ์</t>
  </si>
  <si>
    <t>W สูงสุด (รวม)</t>
  </si>
  <si>
    <t>ทุกอย่างทำงานหนักพร้อมกัน — กรณีแย่สุด</t>
  </si>
  <si>
    <t>จำนวนค่าที่ยังต้องวัดจริง</t>
  </si>
  <si>
    <t>ควรเป็น 0 ก่อนออกแบบแบต</t>
  </si>
  <si>
    <t>ไว้ใช้ตอนออกแบบแบต</t>
  </si>
  <si>
    <t>แรงดันแบต (V)</t>
  </si>
  <si>
    <t>แก้ได้</t>
  </si>
  <si>
    <t>ประสิทธิภาพ DC-DC เฉลี่ย</t>
  </si>
  <si>
    <t>step-down ทั่วไป 80–90%</t>
  </si>
  <si>
    <t>ความจุแบต (Ah)</t>
  </si>
  <si>
    <t>ใช้ได้กี่ % ของความจุ</t>
  </si>
  <si>
    <t>ไม่ควรใช้จนหมด 100%</t>
  </si>
  <si>
    <t>กระแสจากแบต ปกติ (A)</t>
  </si>
  <si>
    <t>กระแสจากแบต สูงสุด (A)</t>
  </si>
  <si>
    <t>BMS ต้องจ่ายต่อเนื่องได้มากกว่านี้</t>
  </si>
  <si>
    <t>ใช้งานได้ประมาณ (ชั่วโมง)</t>
  </si>
  <si>
    <t>คิดจาก W ปกติ</t>
  </si>
  <si>
    <t>พอร์ต USB ที่ต้องต่อเข้า Pi</t>
  </si>
  <si>
    <t>Arduino MEGA</t>
  </si>
  <si>
    <t>D500 LiDAR</t>
  </si>
  <si>
    <t>Astra Pro</t>
  </si>
  <si>
    <t>Bus Servo Adapter</t>
  </si>
  <si>
    <t>AR4 Teensy + Nano (แขนละ 2)</t>
  </si>
  <si>
    <t>รวม</t>
  </si>
  <si>
    <t>พอร์ต USB บน Pi 5</t>
  </si>
  <si>
    <t>ผล</t>
  </si>
  <si>
    <t>อุปกรณ์</t>
  </si>
  <si>
    <t>รับไฟจาก</t>
  </si>
  <si>
    <t>V</t>
  </si>
  <si>
    <t>mA ปกติ
(ต่อตัว)</t>
  </si>
  <si>
    <t>mA สูงสุด
(ต่อตัว)</t>
  </si>
  <si>
    <t>จำนวน</t>
  </si>
  <si>
    <t>W ปกติ
(รวม)</t>
  </si>
  <si>
    <t>W สูงสุด
(รวม)</t>
  </si>
  <si>
    <t>นับใน
ยอดรวม</t>
  </si>
  <si>
    <t>ที่มาของค่า</t>
  </si>
  <si>
    <t>หมายเหตุ</t>
  </si>
  <si>
    <t>Motor ZKE2032</t>
  </si>
  <si>
    <t>Keyence 24V 6.5A</t>
  </si>
  <si>
    <t>ใช่</t>
  </si>
  <si>
    <t>วัดจริง</t>
  </si>
  <si>
    <t>จอ Keyence วัดรวม 4 ตัวได้ 3.9A (÷4 = 975) — จดสภาพตอนวัด: ล้อบนพื้น/ยกลอย, ท่าไหน, ลูกบิดสุดไหม · สูงสุด 1.5A ตามสเปก</t>
  </si>
  <si>
    <t>PWM Speed control (HW-687)</t>
  </si>
  <si>
    <t>ไม่</t>
  </si>
  <si>
    <t>-</t>
  </si>
  <si>
    <t>กระแสไหลผ่านไปมอเตอร์ นับในแถวมอเตอร์แล้ว</t>
  </si>
  <si>
    <t>LM2596 (24V → 12V)</t>
  </si>
  <si>
    <t>ประมาณ</t>
  </si>
  <si>
    <t>คำนวณจากโหลด 12V สองแถวถัดไป ÷ ประสิทธิภาพ 80% (สูตร ไม่ต้องกรอก)</t>
  </si>
  <si>
    <t>Encoder YT3806</t>
  </si>
  <si>
    <t>LM2596 → 12V</t>
  </si>
  <si>
    <t>สเปก</t>
  </si>
  <si>
    <t>ฉลาก DC 8–24V · ≤80mA ตามรุ่นใกล้เคียง · นับรวมในแถว LM2596 แล้ว</t>
  </si>
  <si>
    <t>บอร์ดออปโต้ DST-1R4P (12V→5V)</t>
  </si>
  <si>
    <t>LED ฝั่งอินพุต ~5–10mA ต่อช่อง × 4 ช่อง · นับรวมในแถว LM2596 แล้ว</t>
  </si>
  <si>
    <t>AR4</t>
  </si>
  <si>
    <t>อะแดปเตอร์ AR4 24V</t>
  </si>
  <si>
    <t>ต้องวัด</t>
  </si>
  <si>
    <t>1000 เป็นค่าเดา — วัดตอนเปิดแขนนิ่งๆ และตอนขยับ · สูงสุด = พิกัดอะแดปเตอร์ 10A</t>
  </si>
  <si>
    <t>AR4 บอร์ด Teensy 4.1 + Nano (USB)</t>
  </si>
  <si>
    <t>USB hub (มีไฟเลี้ยง)</t>
  </si>
  <si>
    <t>แขนละ 2 สาย USB</t>
  </si>
  <si>
    <t>Raspberry Pi 5 (ตัวเปล่า)</t>
  </si>
  <si>
    <t>แหล่งจ่าย Pi 5.1V</t>
  </si>
  <si>
    <t>แหล่งจ่ายต้องเป็น 5.1V 5A (USB-C)</t>
  </si>
  <si>
    <t>Hailo AI HAT</t>
  </si>
  <si>
    <t>ถ้าไม่ได้ติดบน Pi ให้แก้จำนวนเป็น 0</t>
  </si>
  <si>
    <t>Arduino MEGA 2560</t>
  </si>
  <si>
    <t>ไม่รวม relay (ย้าย relay ไปแหล่งจ่าย 5V แยก)</t>
  </si>
  <si>
    <t>Flysky FS-SR8</t>
  </si>
  <si>
    <t>รับไฟจากขา 5V ของ Mega ซึ่งมาจาก USB</t>
  </si>
  <si>
    <t>D500 LiDAR Kit (STL-19P)</t>
  </si>
  <si>
    <t>Waveshare wiki: 1.45W</t>
  </si>
  <si>
    <t>Astra Pro Depth Camera</t>
  </si>
  <si>
    <t>Orbbec: ไม่เกิน 2.4–2.5W</t>
  </si>
  <si>
    <t>Bus Servo Adapter (A) V1.1 + AmazingHand</t>
  </si>
  <si>
    <t>แหล่งจ่ายมือ 6V</t>
  </si>
  <si>
    <t>มือละชุด · เซอร์โว SCS0009 × 8 · ห้ามป้อนเกิน 7.4V · เซอร์โวต้องอ่าน ≥4.8V ก่อนสั่งขยับ</t>
  </si>
  <si>
    <t>Relay 16 channel</t>
  </si>
  <si>
    <t>แหล่งจ่าย 5V (relay)</t>
  </si>
  <si>
    <t>~70mA ต่อช่องที่ติด · ตอนวิ่งติดพร้อมกัน 4 ช่อง (ล้อละ 1)</t>
  </si>
  <si>
    <t>USB hub (ตัว hub เอง)</t>
  </si>
  <si>
    <t>ยังไม่ได้ซื้อ — ต้องเป็นแบบมีอะแดปเตอร์ไฟของตัวเอง</t>
  </si>
  <si>
    <t>ฟิวส์ + สวิตช์ / E-Stop</t>
  </si>
  <si>
    <t>ไม่กินไฟ ใส่ไว้ให้รายการครบ</t>
  </si>
  <si>
    <t>รวม (เฉพาะแถวที่ นับในยอดรวม = ใช่)</t>
  </si>
  <si>
    <t>วิธีใช้: แก้เฉพาะช่องสีเหลือง (V, mA, จำนวน) — ช่อง W คำนวณเอง · แถวที่กินไฟผ่านอุปกรณ์อื่นแล้ว (เช่น encoder ผ่าน LM2596) ตั้ง นับในยอดรวม = ไม่ จะได้ไม่นับซ้ำ</t>
  </si>
  <si>
    <t>แหล่งจ่าย</t>
  </si>
  <si>
    <t>จ่ายได้
A ต่อตัว</t>
  </si>
  <si>
    <t>จ่ายได้รวม
W</t>
  </si>
  <si>
    <t>โหลดปกติ
W</t>
  </si>
  <si>
    <t>โหลดสูงสุด
W</t>
  </si>
  <si>
    <t>ใช้ไป %
(สูงสุด)</t>
  </si>
  <si>
    <t>สถานะ</t>
  </si>
  <si>
    <t>จ่ายมอเตอร์ + LM2596 · จอแสดงกระแสขาออก</t>
  </si>
  <si>
    <t>แขนละตัว</t>
  </si>
  <si>
    <t>พิกัด 3A แต่ไม่มีฮีตซิงก์ใช้ต่อเนื่องได้ ~2A</t>
  </si>
  <si>
    <t>อะแดปเตอร์ USB-C 27W</t>
  </si>
  <si>
    <t>ยังไม่ได้ซื้อ — ใส่ A ตามอะแดปเตอร์ของ hub</t>
  </si>
  <si>
    <t>ใส่ A ตามฉลากแหล่งจ่าย 5V ที่มีอยู่</t>
  </si>
  <si>
    <t>มือละตัว · ตอนใช้แบตเปลี่ยนเป็น step-down ≥5A (XL4015/XL4016)</t>
  </si>
  <si>
    <t>สถานะ: พอ = ใช้ไม่ถึง 80% · ตึง = 80–100% · ไม่พอ = เกิน 100% (ดูจากโหลดสูงสุด) · ชื่อในคอลัมน์ A ต้องตรงกับคอลัมน์ รับไฟจาก ในชีตอุปกรณ์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</si>
</sst>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5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name val="Tahoma"/>
    </font>
    <font>
      <sz val="11"/>
      <color rgb="FF1F4E9E"/>
      <name val="Tahoma"/>
    </font>
    <font>
      <sz val="10"/>
      <color rgb="FF595959"/>
      <name val="Tahoma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9E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87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8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87" fontId="1" fillId="4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10">
    <dxf>
      <fill>
        <patternFill patternType="solid">
          <fgColor rgb="FFEDEDE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4"/>
  <sheetViews>
    <sheetView zoomScale="130" zoomScaleNormal="130" workbookViewId="0"/>
  </sheetViews>
  <sheetFormatPr defaultRowHeight="14.25" x14ac:dyDescent="0.2"/>
  <cols>
    <col min="1" max="1" width="44" customWidth="1"/>
    <col min="2" max="2" width="14" customWidth="1"/>
    <col min="3" max="3" width="48" customWidth="1"/>
  </cols>
  <sheetData>
    <row r="2" spans="1:3" x14ac:dyDescent="0.2">
      <c r="A2" s="1" t="s">
        <v>0</v>
      </c>
      <c r="B2" s="1"/>
      <c r="C2" s="1"/>
    </row>
    <row r="3" spans="1:3" x14ac:dyDescent="0.2">
      <c r="A3" s="2" t="s">
        <v>1</v>
      </c>
      <c r="B3" s="3">
        <f>อุปกรณ์!G20</f>
        <v>170.9</v>
      </c>
      <c r="C3" s="4" t="s">
        <v>2</v>
      </c>
    </row>
    <row r="4" spans="1:3" x14ac:dyDescent="0.2">
      <c r="A4" s="2" t="s">
        <v>3</v>
      </c>
      <c r="B4" s="3">
        <f>อุปกรณ์!H20</f>
        <v>686.10000000000014</v>
      </c>
      <c r="C4" s="4" t="s">
        <v>4</v>
      </c>
    </row>
    <row r="5" spans="1:3" x14ac:dyDescent="0.2">
      <c r="A5" s="2" t="s">
        <v>5</v>
      </c>
      <c r="B5" s="5">
        <f>COUNTIF(อุปกรณ์!J2:J18,"ต้องวัด")</f>
        <v>1</v>
      </c>
      <c r="C5" s="4" t="s">
        <v>6</v>
      </c>
    </row>
    <row r="7" spans="1:3" x14ac:dyDescent="0.2">
      <c r="A7" s="1" t="s">
        <v>7</v>
      </c>
      <c r="B7" s="1"/>
      <c r="C7" s="1"/>
    </row>
    <row r="8" spans="1:3" x14ac:dyDescent="0.2">
      <c r="A8" s="2" t="s">
        <v>8</v>
      </c>
      <c r="B8" s="6">
        <v>24</v>
      </c>
      <c r="C8" s="4" t="s">
        <v>9</v>
      </c>
    </row>
    <row r="9" spans="1:3" x14ac:dyDescent="0.2">
      <c r="A9" s="2" t="s">
        <v>10</v>
      </c>
      <c r="B9" s="7">
        <v>0.85</v>
      </c>
      <c r="C9" s="4" t="s">
        <v>11</v>
      </c>
    </row>
    <row r="10" spans="1:3" x14ac:dyDescent="0.2">
      <c r="A10" s="2" t="s">
        <v>12</v>
      </c>
      <c r="B10" s="6">
        <v>20</v>
      </c>
      <c r="C10" s="4" t="s">
        <v>9</v>
      </c>
    </row>
    <row r="11" spans="1:3" x14ac:dyDescent="0.2">
      <c r="A11" s="2" t="s">
        <v>13</v>
      </c>
      <c r="B11" s="7">
        <v>0.8</v>
      </c>
      <c r="C11" s="4" t="s">
        <v>14</v>
      </c>
    </row>
    <row r="12" spans="1:3" x14ac:dyDescent="0.2">
      <c r="A12" s="2" t="s">
        <v>15</v>
      </c>
      <c r="B12" s="3">
        <f>B3/(B8*B9)</f>
        <v>8.3774509803921582</v>
      </c>
      <c r="C12" s="4"/>
    </row>
    <row r="13" spans="1:3" x14ac:dyDescent="0.2">
      <c r="A13" s="2" t="s">
        <v>16</v>
      </c>
      <c r="B13" s="3">
        <f>B4/(B8*B9)</f>
        <v>33.632352941176478</v>
      </c>
      <c r="C13" s="4" t="s">
        <v>17</v>
      </c>
    </row>
    <row r="14" spans="1:3" x14ac:dyDescent="0.2">
      <c r="A14" s="2" t="s">
        <v>18</v>
      </c>
      <c r="B14" s="3">
        <f>B10*B8*B11*B9/B3</f>
        <v>1.90988882387361</v>
      </c>
      <c r="C14" s="4" t="s">
        <v>19</v>
      </c>
    </row>
    <row r="16" spans="1:3" x14ac:dyDescent="0.2">
      <c r="A16" s="1" t="s">
        <v>20</v>
      </c>
      <c r="B16" s="1"/>
      <c r="C16" s="1"/>
    </row>
    <row r="17" spans="1:3" x14ac:dyDescent="0.2">
      <c r="A17" s="2" t="s">
        <v>21</v>
      </c>
      <c r="B17" s="6">
        <v>1</v>
      </c>
      <c r="C17" s="4"/>
    </row>
    <row r="18" spans="1:3" x14ac:dyDescent="0.2">
      <c r="A18" s="2" t="s">
        <v>22</v>
      </c>
      <c r="B18" s="6">
        <v>1</v>
      </c>
      <c r="C18" s="4"/>
    </row>
    <row r="19" spans="1:3" x14ac:dyDescent="0.2">
      <c r="A19" s="2" t="s">
        <v>23</v>
      </c>
      <c r="B19" s="6">
        <v>1</v>
      </c>
      <c r="C19" s="4"/>
    </row>
    <row r="20" spans="1:3" x14ac:dyDescent="0.2">
      <c r="A20" s="2" t="s">
        <v>24</v>
      </c>
      <c r="B20" s="6">
        <v>2</v>
      </c>
      <c r="C20" s="4"/>
    </row>
    <row r="21" spans="1:3" x14ac:dyDescent="0.2">
      <c r="A21" s="2" t="s">
        <v>25</v>
      </c>
      <c r="B21" s="6">
        <v>4</v>
      </c>
      <c r="C21" s="4"/>
    </row>
    <row r="22" spans="1:3" x14ac:dyDescent="0.2">
      <c r="A22" s="2" t="s">
        <v>26</v>
      </c>
      <c r="B22" s="5">
        <f>SUM(B17:B21)</f>
        <v>9</v>
      </c>
      <c r="C22" s="4"/>
    </row>
    <row r="23" spans="1:3" x14ac:dyDescent="0.2">
      <c r="A23" s="2" t="s">
        <v>27</v>
      </c>
      <c r="B23" s="6">
        <v>4</v>
      </c>
      <c r="C23" s="4"/>
    </row>
    <row r="24" spans="1:3" x14ac:dyDescent="0.2">
      <c r="A24" s="2" t="s">
        <v>28</v>
      </c>
      <c r="B24" s="5" t="str">
        <f>IF(B22&gt;B23,"ต้องใช้ USB hub แบบมีไฟเลี้ยง","พอร์ตพอ")</f>
        <v>ต้องใช้ USB hub แบบมีไฟเลี้ยง</v>
      </c>
      <c r="C24" s="4"/>
    </row>
  </sheetData>
  <conditionalFormatting sqref="B5">
    <cfRule type="cellIs" dxfId="9" priority="1" operator="greaterThan">
      <formula>0</formula>
    </cfRule>
  </conditionalFormatting>
  <conditionalFormatting sqref="B24">
    <cfRule type="expression" dxfId="8" priority="2">
      <formula>B22&gt;B23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8" sqref="A18:XFD18"/>
    </sheetView>
  </sheetViews>
  <sheetFormatPr defaultRowHeight="14.25" x14ac:dyDescent="0.2"/>
  <cols>
    <col min="1" max="1" width="34" customWidth="1"/>
    <col min="2" max="2" width="24" customWidth="1"/>
    <col min="3" max="3" width="7" customWidth="1"/>
    <col min="4" max="5" width="11" customWidth="1"/>
    <col min="6" max="6" width="8" customWidth="1"/>
    <col min="7" max="8" width="10" customWidth="1"/>
    <col min="9" max="9" width="9" customWidth="1"/>
    <col min="10" max="10" width="12" customWidth="1"/>
    <col min="11" max="11" width="70" customWidth="1"/>
  </cols>
  <sheetData>
    <row r="1" spans="1:11" ht="33.950000000000003" customHeight="1" x14ac:dyDescent="0.2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</row>
    <row r="2" spans="1:11" ht="25.5" x14ac:dyDescent="0.2">
      <c r="A2" s="9" t="s">
        <v>40</v>
      </c>
      <c r="B2" s="9" t="s">
        <v>41</v>
      </c>
      <c r="C2" s="6">
        <v>24</v>
      </c>
      <c r="D2" s="10">
        <v>975</v>
      </c>
      <c r="E2" s="10">
        <v>1500</v>
      </c>
      <c r="F2" s="6">
        <v>4</v>
      </c>
      <c r="G2" s="11">
        <f t="shared" ref="G2:G18" si="0">C2*D2*F2/1000</f>
        <v>93.6</v>
      </c>
      <c r="H2" s="11">
        <f t="shared" ref="H2:H18" si="1">C2*E2*F2/1000</f>
        <v>144</v>
      </c>
      <c r="I2" s="12" t="s">
        <v>42</v>
      </c>
      <c r="J2" s="12" t="s">
        <v>43</v>
      </c>
      <c r="K2" s="13" t="s">
        <v>44</v>
      </c>
    </row>
    <row r="3" spans="1:11" x14ac:dyDescent="0.2">
      <c r="A3" s="9" t="s">
        <v>45</v>
      </c>
      <c r="B3" s="9" t="s">
        <v>41</v>
      </c>
      <c r="C3" s="6">
        <v>24</v>
      </c>
      <c r="D3" s="10">
        <v>0</v>
      </c>
      <c r="E3" s="10">
        <v>0</v>
      </c>
      <c r="F3" s="6">
        <v>4</v>
      </c>
      <c r="G3" s="11">
        <f t="shared" si="0"/>
        <v>0</v>
      </c>
      <c r="H3" s="11">
        <f t="shared" si="1"/>
        <v>0</v>
      </c>
      <c r="I3" s="12" t="s">
        <v>46</v>
      </c>
      <c r="J3" s="12" t="s">
        <v>47</v>
      </c>
      <c r="K3" s="13" t="s">
        <v>48</v>
      </c>
    </row>
    <row r="4" spans="1:11" x14ac:dyDescent="0.2">
      <c r="A4" s="9" t="s">
        <v>49</v>
      </c>
      <c r="B4" s="9" t="s">
        <v>41</v>
      </c>
      <c r="C4" s="6">
        <v>24</v>
      </c>
      <c r="D4" s="14">
        <f>ROUND((G5+G6)/0.8/C4*1000,0)</f>
        <v>175</v>
      </c>
      <c r="E4" s="14">
        <f>ROUND((H5+H6)/0.8/C4*1000,0)</f>
        <v>300</v>
      </c>
      <c r="F4" s="6">
        <v>1</v>
      </c>
      <c r="G4" s="11">
        <f t="shared" si="0"/>
        <v>4.2</v>
      </c>
      <c r="H4" s="11">
        <f t="shared" si="1"/>
        <v>7.2</v>
      </c>
      <c r="I4" s="12" t="s">
        <v>42</v>
      </c>
      <c r="J4" s="12" t="s">
        <v>50</v>
      </c>
      <c r="K4" s="13" t="s">
        <v>51</v>
      </c>
    </row>
    <row r="5" spans="1:11" x14ac:dyDescent="0.2">
      <c r="A5" s="9" t="s">
        <v>52</v>
      </c>
      <c r="B5" s="9" t="s">
        <v>53</v>
      </c>
      <c r="C5" s="6">
        <v>12</v>
      </c>
      <c r="D5" s="10">
        <v>50</v>
      </c>
      <c r="E5" s="10">
        <v>80</v>
      </c>
      <c r="F5" s="6">
        <v>4</v>
      </c>
      <c r="G5" s="11">
        <f t="shared" si="0"/>
        <v>2.4</v>
      </c>
      <c r="H5" s="11">
        <f t="shared" si="1"/>
        <v>3.84</v>
      </c>
      <c r="I5" s="12" t="s">
        <v>46</v>
      </c>
      <c r="J5" s="12" t="s">
        <v>54</v>
      </c>
      <c r="K5" s="13" t="s">
        <v>55</v>
      </c>
    </row>
    <row r="6" spans="1:11" x14ac:dyDescent="0.2">
      <c r="A6" s="9" t="s">
        <v>56</v>
      </c>
      <c r="B6" s="9" t="s">
        <v>53</v>
      </c>
      <c r="C6" s="6">
        <v>12</v>
      </c>
      <c r="D6" s="10">
        <v>40</v>
      </c>
      <c r="E6" s="10">
        <v>80</v>
      </c>
      <c r="F6" s="6">
        <v>2</v>
      </c>
      <c r="G6" s="11">
        <f t="shared" si="0"/>
        <v>0.96</v>
      </c>
      <c r="H6" s="11">
        <f t="shared" si="1"/>
        <v>1.92</v>
      </c>
      <c r="I6" s="12" t="s">
        <v>46</v>
      </c>
      <c r="J6" s="12" t="s">
        <v>50</v>
      </c>
      <c r="K6" s="13" t="s">
        <v>57</v>
      </c>
    </row>
    <row r="7" spans="1:11" x14ac:dyDescent="0.2">
      <c r="A7" s="9" t="s">
        <v>58</v>
      </c>
      <c r="B7" s="9" t="s">
        <v>59</v>
      </c>
      <c r="C7" s="6">
        <v>24</v>
      </c>
      <c r="D7" s="10">
        <v>1000</v>
      </c>
      <c r="E7" s="10">
        <v>10000</v>
      </c>
      <c r="F7" s="6">
        <v>2</v>
      </c>
      <c r="G7" s="11">
        <f t="shared" si="0"/>
        <v>48</v>
      </c>
      <c r="H7" s="11">
        <f t="shared" si="1"/>
        <v>480</v>
      </c>
      <c r="I7" s="12" t="s">
        <v>42</v>
      </c>
      <c r="J7" s="12" t="s">
        <v>60</v>
      </c>
      <c r="K7" s="13" t="s">
        <v>61</v>
      </c>
    </row>
    <row r="8" spans="1:11" x14ac:dyDescent="0.2">
      <c r="A8" s="9" t="s">
        <v>62</v>
      </c>
      <c r="B8" s="9" t="s">
        <v>63</v>
      </c>
      <c r="C8" s="6">
        <v>5</v>
      </c>
      <c r="D8" s="10">
        <v>150</v>
      </c>
      <c r="E8" s="10">
        <v>200</v>
      </c>
      <c r="F8" s="6">
        <v>2</v>
      </c>
      <c r="G8" s="11">
        <f t="shared" si="0"/>
        <v>1.5</v>
      </c>
      <c r="H8" s="11">
        <f t="shared" si="1"/>
        <v>2</v>
      </c>
      <c r="I8" s="12" t="s">
        <v>42</v>
      </c>
      <c r="J8" s="12" t="s">
        <v>50</v>
      </c>
      <c r="K8" s="13" t="s">
        <v>64</v>
      </c>
    </row>
    <row r="9" spans="1:11" x14ac:dyDescent="0.2">
      <c r="A9" s="9" t="s">
        <v>65</v>
      </c>
      <c r="B9" s="9" t="s">
        <v>66</v>
      </c>
      <c r="C9" s="6">
        <v>5.0999999999999996</v>
      </c>
      <c r="D9" s="10">
        <v>1000</v>
      </c>
      <c r="E9" s="10">
        <v>2000</v>
      </c>
      <c r="F9" s="6">
        <v>1</v>
      </c>
      <c r="G9" s="11">
        <f t="shared" si="0"/>
        <v>5.0999999999999996</v>
      </c>
      <c r="H9" s="11">
        <f t="shared" si="1"/>
        <v>10.199999999999999</v>
      </c>
      <c r="I9" s="12" t="s">
        <v>42</v>
      </c>
      <c r="J9" s="12" t="s">
        <v>50</v>
      </c>
      <c r="K9" s="13" t="s">
        <v>67</v>
      </c>
    </row>
    <row r="10" spans="1:11" x14ac:dyDescent="0.2">
      <c r="A10" s="9" t="s">
        <v>68</v>
      </c>
      <c r="B10" s="9" t="s">
        <v>66</v>
      </c>
      <c r="C10" s="6">
        <v>5.0999999999999996</v>
      </c>
      <c r="D10" s="10">
        <v>300</v>
      </c>
      <c r="E10" s="10">
        <v>500</v>
      </c>
      <c r="F10" s="6">
        <v>1</v>
      </c>
      <c r="G10" s="11">
        <v>0</v>
      </c>
      <c r="H10" s="11">
        <v>0</v>
      </c>
      <c r="I10" s="12" t="s">
        <v>42</v>
      </c>
      <c r="J10" s="12" t="s">
        <v>50</v>
      </c>
      <c r="K10" s="13" t="s">
        <v>69</v>
      </c>
    </row>
    <row r="11" spans="1:11" x14ac:dyDescent="0.2">
      <c r="A11" s="9" t="s">
        <v>70</v>
      </c>
      <c r="B11" s="9" t="s">
        <v>63</v>
      </c>
      <c r="C11" s="6">
        <v>5</v>
      </c>
      <c r="D11" s="10">
        <v>80</v>
      </c>
      <c r="E11" s="10">
        <v>100</v>
      </c>
      <c r="F11" s="6">
        <v>1</v>
      </c>
      <c r="G11" s="11">
        <f t="shared" si="0"/>
        <v>0.4</v>
      </c>
      <c r="H11" s="11">
        <f t="shared" si="1"/>
        <v>0.5</v>
      </c>
      <c r="I11" s="12" t="s">
        <v>42</v>
      </c>
      <c r="J11" s="12" t="s">
        <v>50</v>
      </c>
      <c r="K11" s="13" t="s">
        <v>71</v>
      </c>
    </row>
    <row r="12" spans="1:11" x14ac:dyDescent="0.2">
      <c r="A12" s="9" t="s">
        <v>72</v>
      </c>
      <c r="B12" s="9" t="s">
        <v>63</v>
      </c>
      <c r="C12" s="6">
        <v>5</v>
      </c>
      <c r="D12" s="10">
        <v>50</v>
      </c>
      <c r="E12" s="10">
        <v>50</v>
      </c>
      <c r="F12" s="6">
        <v>1</v>
      </c>
      <c r="G12" s="11">
        <f t="shared" si="0"/>
        <v>0.25</v>
      </c>
      <c r="H12" s="11">
        <f t="shared" si="1"/>
        <v>0.25</v>
      </c>
      <c r="I12" s="12" t="s">
        <v>42</v>
      </c>
      <c r="J12" s="12" t="s">
        <v>50</v>
      </c>
      <c r="K12" s="13" t="s">
        <v>73</v>
      </c>
    </row>
    <row r="13" spans="1:11" x14ac:dyDescent="0.2">
      <c r="A13" s="9" t="s">
        <v>74</v>
      </c>
      <c r="B13" s="9" t="s">
        <v>63</v>
      </c>
      <c r="C13" s="6">
        <v>5</v>
      </c>
      <c r="D13" s="10">
        <v>290</v>
      </c>
      <c r="E13" s="10">
        <v>290</v>
      </c>
      <c r="F13" s="6">
        <v>1</v>
      </c>
      <c r="G13" s="11">
        <f t="shared" si="0"/>
        <v>1.45</v>
      </c>
      <c r="H13" s="11">
        <f t="shared" si="1"/>
        <v>1.45</v>
      </c>
      <c r="I13" s="12" t="s">
        <v>42</v>
      </c>
      <c r="J13" s="12" t="s">
        <v>54</v>
      </c>
      <c r="K13" s="13" t="s">
        <v>75</v>
      </c>
    </row>
    <row r="14" spans="1:11" x14ac:dyDescent="0.2">
      <c r="A14" s="9" t="s">
        <v>76</v>
      </c>
      <c r="B14" s="9" t="s">
        <v>63</v>
      </c>
      <c r="C14" s="6">
        <v>5</v>
      </c>
      <c r="D14" s="10">
        <v>500</v>
      </c>
      <c r="E14" s="10">
        <v>500</v>
      </c>
      <c r="F14" s="6">
        <v>1</v>
      </c>
      <c r="G14" s="11">
        <f t="shared" si="0"/>
        <v>2.5</v>
      </c>
      <c r="H14" s="11">
        <f t="shared" si="1"/>
        <v>2.5</v>
      </c>
      <c r="I14" s="12" t="s">
        <v>42</v>
      </c>
      <c r="J14" s="12" t="s">
        <v>54</v>
      </c>
      <c r="K14" s="13" t="s">
        <v>77</v>
      </c>
    </row>
    <row r="15" spans="1:11" ht="28.5" x14ac:dyDescent="0.2">
      <c r="A15" s="9" t="s">
        <v>78</v>
      </c>
      <c r="B15" s="9" t="s">
        <v>79</v>
      </c>
      <c r="C15" s="6">
        <v>6</v>
      </c>
      <c r="D15" s="10">
        <v>1000</v>
      </c>
      <c r="E15" s="10">
        <v>3000</v>
      </c>
      <c r="F15" s="6">
        <v>2</v>
      </c>
      <c r="G15" s="11">
        <f t="shared" si="0"/>
        <v>12</v>
      </c>
      <c r="H15" s="11">
        <f t="shared" si="1"/>
        <v>36</v>
      </c>
      <c r="I15" s="12" t="s">
        <v>42</v>
      </c>
      <c r="J15" s="12" t="s">
        <v>50</v>
      </c>
      <c r="K15" s="13" t="s">
        <v>80</v>
      </c>
    </row>
    <row r="16" spans="1:11" x14ac:dyDescent="0.2">
      <c r="A16" s="9" t="s">
        <v>81</v>
      </c>
      <c r="B16" s="9" t="s">
        <v>82</v>
      </c>
      <c r="C16" s="6">
        <v>5</v>
      </c>
      <c r="D16" s="10">
        <v>280</v>
      </c>
      <c r="E16" s="10">
        <v>300</v>
      </c>
      <c r="F16" s="6">
        <v>1</v>
      </c>
      <c r="G16" s="11">
        <f t="shared" si="0"/>
        <v>1.4</v>
      </c>
      <c r="H16" s="11">
        <f t="shared" si="1"/>
        <v>1.5</v>
      </c>
      <c r="I16" s="12" t="s">
        <v>42</v>
      </c>
      <c r="J16" s="12" t="s">
        <v>50</v>
      </c>
      <c r="K16" s="13" t="s">
        <v>83</v>
      </c>
    </row>
    <row r="17" spans="1:11" x14ac:dyDescent="0.2">
      <c r="A17" s="9" t="s">
        <v>84</v>
      </c>
      <c r="B17" s="9" t="s">
        <v>63</v>
      </c>
      <c r="C17" s="6">
        <v>5</v>
      </c>
      <c r="D17" s="10">
        <v>100</v>
      </c>
      <c r="E17" s="10">
        <v>100</v>
      </c>
      <c r="F17" s="6">
        <v>1</v>
      </c>
      <c r="G17" s="11">
        <f t="shared" si="0"/>
        <v>0.5</v>
      </c>
      <c r="H17" s="11">
        <f t="shared" si="1"/>
        <v>0.5</v>
      </c>
      <c r="I17" s="12" t="s">
        <v>42</v>
      </c>
      <c r="J17" s="12" t="s">
        <v>50</v>
      </c>
      <c r="K17" s="13" t="s">
        <v>85</v>
      </c>
    </row>
    <row r="18" spans="1:11" x14ac:dyDescent="0.2">
      <c r="A18" s="9" t="s">
        <v>86</v>
      </c>
      <c r="B18" s="9" t="s">
        <v>47</v>
      </c>
      <c r="C18" s="6">
        <v>0</v>
      </c>
      <c r="D18" s="10">
        <v>0</v>
      </c>
      <c r="E18" s="10">
        <v>0</v>
      </c>
      <c r="F18" s="6">
        <v>1</v>
      </c>
      <c r="G18" s="11">
        <f t="shared" si="0"/>
        <v>0</v>
      </c>
      <c r="H18" s="11">
        <f t="shared" si="1"/>
        <v>0</v>
      </c>
      <c r="I18" s="12" t="s">
        <v>46</v>
      </c>
      <c r="J18" s="12" t="s">
        <v>47</v>
      </c>
      <c r="K18" s="13" t="s">
        <v>87</v>
      </c>
    </row>
    <row r="20" spans="1:11" x14ac:dyDescent="0.2">
      <c r="A20" s="18" t="s">
        <v>88</v>
      </c>
      <c r="B20" s="19"/>
      <c r="C20" s="19"/>
      <c r="D20" s="19"/>
      <c r="E20" s="19"/>
      <c r="F20" s="19"/>
      <c r="G20" s="16">
        <f>SUMIFS(G2:G18,I2:I18,"ใช่")</f>
        <v>170.9</v>
      </c>
      <c r="H20" s="16">
        <f>SUMIFS(H2:H18,I2:I18,"ใช่")</f>
        <v>686.10000000000014</v>
      </c>
      <c r="I20" s="15"/>
      <c r="J20" s="15"/>
      <c r="K20" s="15"/>
    </row>
    <row r="22" spans="1:11" ht="32.1" customHeight="1" x14ac:dyDescent="0.2">
      <c r="A22" s="20" t="s">
        <v>89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</sheetData>
  <mergeCells count="2">
    <mergeCell ref="A20:F20"/>
    <mergeCell ref="A22:K22"/>
  </mergeCells>
  <conditionalFormatting sqref="J2:J18">
    <cfRule type="cellIs" dxfId="7" priority="1" operator="equal">
      <formula>"วัดจริง"</formula>
    </cfRule>
    <cfRule type="cellIs" dxfId="6" priority="2" operator="equal">
      <formula>"สเปก"</formula>
    </cfRule>
    <cfRule type="cellIs" dxfId="5" priority="3" operator="equal">
      <formula>"ประมาณ"</formula>
    </cfRule>
    <cfRule type="cellIs" dxfId="4" priority="4" operator="equal">
      <formula>"ต้องวัด"</formula>
    </cfRule>
  </conditionalFormatting>
  <dataValidations count="2">
    <dataValidation type="list" sqref="I2:I18" xr:uid="{00000000-0002-0000-0100-000000000000}">
      <formula1>"ใช่,ไม่"</formula1>
    </dataValidation>
    <dataValidation type="list" allowBlank="1" sqref="J2:J18" xr:uid="{00000000-0002-0000-0100-000001000000}">
      <formula1>"วัดจริง,สเปก,ประมาณ,ต้องวัด,-"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error="ชื่อนี้ไม่มีในชีตแหล่งจ่าย ยอดของแหล่งจ่ายจะไม่นับแถวนี้" xr:uid="{00000000-0002-0000-0100-000002000000}">
          <x14:formula1>
            <xm:f>แหล่งจ่าย!$A$2:$A$8</xm:f>
          </x14:formula1>
          <xm:sqref>B2:B18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4" sqref="A4:XFD4"/>
    </sheetView>
  </sheetViews>
  <sheetFormatPr defaultRowHeight="14.25" x14ac:dyDescent="0.2"/>
  <cols>
    <col min="1" max="1" width="24" customWidth="1"/>
    <col min="2" max="2" width="7" customWidth="1"/>
    <col min="3" max="3" width="10" customWidth="1"/>
    <col min="4" max="4" width="8" customWidth="1"/>
    <col min="5" max="7" width="11" customWidth="1"/>
    <col min="8" max="8" width="10" customWidth="1"/>
    <col min="9" max="9" width="14" customWidth="1"/>
    <col min="10" max="10" width="58" customWidth="1"/>
  </cols>
  <sheetData>
    <row r="1" spans="1:10" ht="33.950000000000003" customHeight="1" x14ac:dyDescent="0.2">
      <c r="A1" s="8" t="s">
        <v>90</v>
      </c>
      <c r="B1" s="8" t="s">
        <v>31</v>
      </c>
      <c r="C1" s="8" t="s">
        <v>91</v>
      </c>
      <c r="D1" s="8" t="s">
        <v>34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39</v>
      </c>
    </row>
    <row r="2" spans="1:10" x14ac:dyDescent="0.2">
      <c r="A2" s="9" t="s">
        <v>41</v>
      </c>
      <c r="B2" s="6">
        <v>24</v>
      </c>
      <c r="C2" s="6">
        <v>6.5</v>
      </c>
      <c r="D2" s="6">
        <v>1</v>
      </c>
      <c r="E2" s="11">
        <f t="shared" ref="E2:E8" si="0">B2*C2*D2</f>
        <v>156</v>
      </c>
      <c r="F2" s="11">
        <f>SUMIFS(อุปกรณ์!$G$2:$G$18,อุปกรณ์!$B$2:$B$18,A2)</f>
        <v>97.8</v>
      </c>
      <c r="G2" s="11">
        <f>SUMIFS(อุปกรณ์!$H$2:$H$18,อุปกรณ์!$B$2:$B$18,A2)</f>
        <v>151.19999999999999</v>
      </c>
      <c r="H2" s="17">
        <f t="shared" ref="H2:H8" si="1">IF(E2=0,"",G2/E2)</f>
        <v>0.96923076923076912</v>
      </c>
      <c r="I2" s="12" t="str">
        <f t="shared" ref="I2:I8" si="2">IF(E2=0,"ยังไม่มีข้อมูล",IF(G2/E2&gt;1,"ไม่พอ",IF(G2/E2&gt;=0.8,"ตึง","พอ")))</f>
        <v>ตึง</v>
      </c>
      <c r="J2" s="13" t="s">
        <v>97</v>
      </c>
    </row>
    <row r="3" spans="1:10" x14ac:dyDescent="0.2">
      <c r="A3" s="9" t="s">
        <v>59</v>
      </c>
      <c r="B3" s="6">
        <v>24</v>
      </c>
      <c r="C3" s="6">
        <v>10</v>
      </c>
      <c r="D3" s="6">
        <v>2</v>
      </c>
      <c r="E3" s="11">
        <f t="shared" si="0"/>
        <v>480</v>
      </c>
      <c r="F3" s="11">
        <f>SUMIFS(อุปกรณ์!$G$2:$G$18,อุปกรณ์!$B$2:$B$18,A3)</f>
        <v>48</v>
      </c>
      <c r="G3" s="11">
        <f>SUMIFS(อุปกรณ์!$H$2:$H$18,อุปกรณ์!$B$2:$B$18,A3)</f>
        <v>480</v>
      </c>
      <c r="H3" s="17">
        <f t="shared" si="1"/>
        <v>1</v>
      </c>
      <c r="I3" s="12" t="str">
        <f t="shared" si="2"/>
        <v>ตึง</v>
      </c>
      <c r="J3" s="13" t="s">
        <v>98</v>
      </c>
    </row>
    <row r="4" spans="1:10" x14ac:dyDescent="0.2">
      <c r="A4" s="9" t="s">
        <v>53</v>
      </c>
      <c r="B4" s="6">
        <v>12</v>
      </c>
      <c r="C4" s="6">
        <v>2</v>
      </c>
      <c r="D4" s="6">
        <v>1</v>
      </c>
      <c r="E4" s="11">
        <f t="shared" si="0"/>
        <v>24</v>
      </c>
      <c r="F4" s="11">
        <f>SUMIFS(อุปกรณ์!$G$2:$G$18,อุปกรณ์!$B$2:$B$18,A4)</f>
        <v>3.36</v>
      </c>
      <c r="G4" s="11">
        <f>SUMIFS(อุปกรณ์!$H$2:$H$18,อุปกรณ์!$B$2:$B$18,A4)</f>
        <v>5.76</v>
      </c>
      <c r="H4" s="17">
        <f t="shared" si="1"/>
        <v>0.24</v>
      </c>
      <c r="I4" s="12" t="str">
        <f t="shared" si="2"/>
        <v>พอ</v>
      </c>
      <c r="J4" s="13" t="s">
        <v>99</v>
      </c>
    </row>
    <row r="5" spans="1:10" x14ac:dyDescent="0.2">
      <c r="A5" s="9" t="s">
        <v>66</v>
      </c>
      <c r="B5" s="6">
        <v>5.0999999999999996</v>
      </c>
      <c r="C5" s="6">
        <v>5</v>
      </c>
      <c r="D5" s="6">
        <v>1</v>
      </c>
      <c r="E5" s="11">
        <f t="shared" si="0"/>
        <v>25.5</v>
      </c>
      <c r="F5" s="11">
        <f>SUMIFS(อุปกรณ์!$G$2:$G$18,อุปกรณ์!$B$2:$B$18,A5)</f>
        <v>5.0999999999999996</v>
      </c>
      <c r="G5" s="11">
        <f>SUMIFS(อุปกรณ์!$H$2:$H$18,อุปกรณ์!$B$2:$B$18,A5)</f>
        <v>10.199999999999999</v>
      </c>
      <c r="H5" s="17">
        <f t="shared" si="1"/>
        <v>0.39999999999999997</v>
      </c>
      <c r="I5" s="12" t="str">
        <f t="shared" si="2"/>
        <v>พอ</v>
      </c>
      <c r="J5" s="13" t="s">
        <v>100</v>
      </c>
    </row>
    <row r="6" spans="1:10" x14ac:dyDescent="0.2">
      <c r="A6" s="9" t="s">
        <v>63</v>
      </c>
      <c r="B6" s="6">
        <v>5</v>
      </c>
      <c r="C6" s="6"/>
      <c r="D6" s="6">
        <v>1</v>
      </c>
      <c r="E6" s="11">
        <f t="shared" si="0"/>
        <v>0</v>
      </c>
      <c r="F6" s="11">
        <f>SUMIFS(อุปกรณ์!$G$2:$G$18,อุปกรณ์!$B$2:$B$18,A6)</f>
        <v>6.6</v>
      </c>
      <c r="G6" s="11">
        <f>SUMIFS(อุปกรณ์!$H$2:$H$18,อุปกรณ์!$B$2:$B$18,A6)</f>
        <v>7.2</v>
      </c>
      <c r="H6" s="17" t="str">
        <f t="shared" si="1"/>
        <v/>
      </c>
      <c r="I6" s="12" t="str">
        <f t="shared" si="2"/>
        <v>ยังไม่มีข้อมูล</v>
      </c>
      <c r="J6" s="13" t="s">
        <v>101</v>
      </c>
    </row>
    <row r="7" spans="1:10" x14ac:dyDescent="0.2">
      <c r="A7" s="9" t="s">
        <v>82</v>
      </c>
      <c r="B7" s="6">
        <v>5</v>
      </c>
      <c r="C7" s="6"/>
      <c r="D7" s="6">
        <v>1</v>
      </c>
      <c r="E7" s="11">
        <f t="shared" si="0"/>
        <v>0</v>
      </c>
      <c r="F7" s="11">
        <f>SUMIFS(อุปกรณ์!$G$2:$G$18,อุปกรณ์!$B$2:$B$18,A7)</f>
        <v>1.4</v>
      </c>
      <c r="G7" s="11">
        <f>SUMIFS(อุปกรณ์!$H$2:$H$18,อุปกรณ์!$B$2:$B$18,A7)</f>
        <v>1.5</v>
      </c>
      <c r="H7" s="17" t="str">
        <f t="shared" si="1"/>
        <v/>
      </c>
      <c r="I7" s="12" t="str">
        <f t="shared" si="2"/>
        <v>ยังไม่มีข้อมูล</v>
      </c>
      <c r="J7" s="13" t="s">
        <v>102</v>
      </c>
    </row>
    <row r="8" spans="1:10" x14ac:dyDescent="0.2">
      <c r="A8" s="9" t="s">
        <v>79</v>
      </c>
      <c r="B8" s="6">
        <v>6</v>
      </c>
      <c r="C8" s="6">
        <v>3</v>
      </c>
      <c r="D8" s="6">
        <v>2</v>
      </c>
      <c r="E8" s="11">
        <f t="shared" si="0"/>
        <v>36</v>
      </c>
      <c r="F8" s="11">
        <f>SUMIFS(อุปกรณ์!$G$2:$G$18,อุปกรณ์!$B$2:$B$18,A8)</f>
        <v>12</v>
      </c>
      <c r="G8" s="11">
        <f>SUMIFS(อุปกรณ์!$H$2:$H$18,อุปกรณ์!$B$2:$B$18,A8)</f>
        <v>36</v>
      </c>
      <c r="H8" s="17">
        <f t="shared" si="1"/>
        <v>1</v>
      </c>
      <c r="I8" s="12" t="str">
        <f t="shared" si="2"/>
        <v>ตึง</v>
      </c>
      <c r="J8" s="13" t="s">
        <v>103</v>
      </c>
    </row>
    <row r="10" spans="1:10" x14ac:dyDescent="0.2">
      <c r="A10" s="22" t="s">
        <v>104</v>
      </c>
      <c r="B10" s="21"/>
      <c r="C10" s="21"/>
      <c r="D10" s="21"/>
      <c r="E10" s="21"/>
      <c r="F10" s="21"/>
      <c r="G10" s="21"/>
      <c r="H10" s="21"/>
      <c r="I10" s="21"/>
      <c r="J10" s="21"/>
    </row>
  </sheetData>
  <mergeCells count="1">
    <mergeCell ref="A10:J10"/>
  </mergeCells>
  <conditionalFormatting sqref="I2:I8">
    <cfRule type="cellIs" dxfId="3" priority="1" operator="equal">
      <formula>"พอ"</formula>
    </cfRule>
    <cfRule type="cellIs" dxfId="2" priority="2" operator="equal">
      <formula>"ตึง"</formula>
    </cfRule>
    <cfRule type="cellIs" dxfId="1" priority="3" operator="equal">
      <formula>"ไม่พอ"</formula>
    </cfRule>
    <cfRule type="cellIs" dxfId="0" priority="4" operator="equal">
      <formula>"ยังไม่มีข้อมูล"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</vt:lpstr>
      <vt:lpstr>อุปกรณ์</vt:lpstr>
      <vt:lpstr>แหล่งจ่าย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สหชัย สำเภาเงิน</cp:lastModifiedBy>
  <dcterms:created xsi:type="dcterms:W3CDTF">2026-10-14T06:22:47Z</dcterms:created>
  <dcterms:modified xsi:type="dcterms:W3CDTF">2026-10-14T06:28:21Z</dcterms:modified>
</cp:coreProperties>
</file>